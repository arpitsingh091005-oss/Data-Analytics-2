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RPIT\OneDrive\Documents\"/>
    </mc:Choice>
  </mc:AlternateContent>
  <bookViews>
    <workbookView xWindow="0" yWindow="0" windowWidth="23040" windowHeight="9072" activeTab="1"/>
  </bookViews>
  <sheets>
    <sheet name="Sheet1" sheetId="1" r:id="rId1"/>
    <sheet name="Sheet4" sheetId="4" r:id="rId2"/>
    <sheet name="Sheet2" sheetId="2" r:id="rId3"/>
    <sheet name="Sheet3" sheetId="3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" i="4" l="1"/>
  <c r="G4" i="4"/>
  <c r="G5" i="4"/>
  <c r="G6" i="4"/>
  <c r="G7" i="4"/>
  <c r="G8" i="4"/>
  <c r="G9" i="4"/>
  <c r="G10" i="4"/>
  <c r="G11" i="4"/>
  <c r="G2" i="4"/>
  <c r="F3" i="4"/>
  <c r="F4" i="4"/>
  <c r="F5" i="4"/>
  <c r="F6" i="4"/>
  <c r="F7" i="4"/>
  <c r="F8" i="4"/>
  <c r="F9" i="4"/>
  <c r="F10" i="4"/>
  <c r="F11" i="4"/>
  <c r="F2" i="4"/>
  <c r="F11" i="1"/>
  <c r="F10" i="1"/>
  <c r="F9" i="1"/>
  <c r="F8" i="1"/>
  <c r="F7" i="1"/>
  <c r="F6" i="1"/>
  <c r="F5" i="1"/>
  <c r="F4" i="1"/>
  <c r="F3" i="1"/>
  <c r="F2" i="1"/>
  <c r="F11" i="3"/>
  <c r="F10" i="3"/>
  <c r="F9" i="3"/>
  <c r="F8" i="3"/>
  <c r="F7" i="3"/>
  <c r="F6" i="3"/>
  <c r="F5" i="3"/>
  <c r="F4" i="3"/>
  <c r="F3" i="3"/>
  <c r="F2" i="3"/>
  <c r="F11" i="2"/>
  <c r="F10" i="2"/>
  <c r="F9" i="2"/>
  <c r="F8" i="2"/>
  <c r="F7" i="2"/>
  <c r="F6" i="2"/>
  <c r="F5" i="2"/>
  <c r="F4" i="2"/>
  <c r="F3" i="2"/>
  <c r="F2" i="2"/>
  <c r="F15" i="1"/>
  <c r="F16" i="1"/>
  <c r="F17" i="1"/>
  <c r="F18" i="1"/>
  <c r="F19" i="1"/>
  <c r="F20" i="1"/>
  <c r="F21" i="1"/>
  <c r="F22" i="1"/>
  <c r="F23" i="1"/>
  <c r="F24" i="1"/>
  <c r="G16" i="1" l="1"/>
  <c r="G17" i="1"/>
  <c r="G18" i="1"/>
  <c r="G19" i="1"/>
  <c r="G20" i="1"/>
  <c r="G21" i="1"/>
  <c r="G22" i="1"/>
  <c r="G23" i="1"/>
  <c r="G24" i="1"/>
  <c r="G15" i="1"/>
  <c r="J16" i="1" l="1"/>
  <c r="J17" i="1"/>
  <c r="J18" i="1"/>
  <c r="J19" i="1"/>
  <c r="J20" i="1"/>
  <c r="J21" i="1"/>
  <c r="J22" i="1"/>
  <c r="J23" i="1"/>
  <c r="J24" i="1"/>
  <c r="J15" i="1"/>
  <c r="I16" i="1"/>
  <c r="I17" i="1"/>
  <c r="I18" i="1"/>
  <c r="I19" i="1"/>
  <c r="I20" i="1"/>
  <c r="I21" i="1"/>
  <c r="I22" i="1"/>
  <c r="I23" i="1"/>
  <c r="I24" i="1"/>
  <c r="I15" i="1"/>
  <c r="H16" i="1"/>
  <c r="H17" i="1"/>
  <c r="H18" i="1"/>
  <c r="H19" i="1"/>
  <c r="H20" i="1"/>
  <c r="H21" i="1"/>
  <c r="H22" i="1"/>
  <c r="H23" i="1"/>
  <c r="H24" i="1"/>
  <c r="H15" i="1"/>
</calcChain>
</file>

<file path=xl/sharedStrings.xml><?xml version="1.0" encoding="utf-8"?>
<sst xmlns="http://schemas.openxmlformats.org/spreadsheetml/2006/main" count="135" uniqueCount="23">
  <si>
    <t>Employee</t>
  </si>
  <si>
    <t>Department</t>
  </si>
  <si>
    <t>Marks</t>
  </si>
  <si>
    <t>Salary</t>
  </si>
  <si>
    <t>Attendance</t>
  </si>
  <si>
    <t>RAHUL</t>
  </si>
  <si>
    <t>PRIYA</t>
  </si>
  <si>
    <t>AMAN</t>
  </si>
  <si>
    <t>NEHA</t>
  </si>
  <si>
    <t>ROHIT</t>
  </si>
  <si>
    <t xml:space="preserve">SIMRAN </t>
  </si>
  <si>
    <t>KARAN</t>
  </si>
  <si>
    <t>ANJALI</t>
  </si>
  <si>
    <t>VIVEK</t>
  </si>
  <si>
    <t>POOJA</t>
  </si>
  <si>
    <t>IT</t>
  </si>
  <si>
    <t>HR</t>
  </si>
  <si>
    <t>SALES</t>
  </si>
  <si>
    <t>IF FUNCTION</t>
  </si>
  <si>
    <t>IFS FUNCTION</t>
  </si>
  <si>
    <t>COUNT IF</t>
  </si>
  <si>
    <t>COUNTIF WITH COND</t>
  </si>
  <si>
    <t>SUM IF WITH 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</si>
</sst>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1"/>
    <xf numFmtId="9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"/>
  <sheetViews>
    <sheetView workbookViewId="0">
      <selection activeCell="I15" sqref="I15"/>
    </sheetView>
  </sheetViews>
  <sheetFormatPr defaultRowHeight="14.4" x14ac:dyDescent="0.3"/>
  <cols>
    <col min="2" max="2" width="10.88671875" customWidth="1"/>
    <col min="5" max="5" width="10.33203125" bestFit="1" customWidth="1"/>
    <col min="6" max="6" width="12.6640625" bestFit="1" customWidth="1"/>
    <col min="7" max="7" width="12.5546875" customWidth="1"/>
    <col min="9" max="9" width="15.88671875" customWidth="1"/>
    <col min="10" max="10" width="19.21875" bestFit="1" customWidth="1"/>
  </cols>
  <sheetData>
    <row r="1" spans="1:10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/>
    </row>
    <row r="2" spans="1:10" x14ac:dyDescent="0.3">
      <c r="A2" t="s">
        <v>5</v>
      </c>
      <c r="B2" t="s">
        <v>15</v>
      </c>
      <c r="C2">
        <v>85</v>
      </c>
      <c r="D2" s="1">
        <v>45000</v>
      </c>
      <c r="E2" s="2">
        <v>0.92</v>
      </c>
      <c r="F2" t="e">
        <f>COUNTIF(#REF!,"IT")</f>
        <v>#REF!</v>
      </c>
    </row>
    <row r="3" spans="1:10" x14ac:dyDescent="0.3">
      <c r="A3" t="s">
        <v>6</v>
      </c>
      <c r="B3" t="s">
        <v>16</v>
      </c>
      <c r="C3">
        <v>72</v>
      </c>
      <c r="D3" s="1">
        <v>38000</v>
      </c>
      <c r="E3" s="2">
        <v>0.85</v>
      </c>
      <c r="F3" t="e">
        <f t="shared" ref="F3:F11" si="0">COUNTIF(#REF!,"IT")</f>
        <v>#REF!</v>
      </c>
    </row>
    <row r="4" spans="1:10" x14ac:dyDescent="0.3">
      <c r="A4" t="s">
        <v>7</v>
      </c>
      <c r="B4" t="s">
        <v>15</v>
      </c>
      <c r="C4">
        <v>65</v>
      </c>
      <c r="D4" s="1">
        <v>42000</v>
      </c>
      <c r="E4" s="2">
        <v>0.78</v>
      </c>
      <c r="F4" t="e">
        <f t="shared" ref="F4:F11" si="1">COUNTIF(#REF!,"IT")</f>
        <v>#REF!</v>
      </c>
    </row>
    <row r="5" spans="1:10" x14ac:dyDescent="0.3">
      <c r="A5" t="s">
        <v>8</v>
      </c>
      <c r="B5" t="s">
        <v>17</v>
      </c>
      <c r="C5">
        <v>91</v>
      </c>
      <c r="D5" s="1">
        <v>52000</v>
      </c>
      <c r="E5" s="2">
        <v>0.96</v>
      </c>
      <c r="F5" t="e">
        <f t="shared" ref="F5:F11" si="2">COUNTIF(#REF!,"IT")</f>
        <v>#REF!</v>
      </c>
    </row>
    <row r="6" spans="1:10" x14ac:dyDescent="0.3">
      <c r="A6" t="s">
        <v>9</v>
      </c>
      <c r="B6" t="s">
        <v>16</v>
      </c>
      <c r="C6">
        <v>58</v>
      </c>
      <c r="D6" s="1">
        <v>35000</v>
      </c>
      <c r="E6" s="2">
        <v>0.72</v>
      </c>
      <c r="F6" t="e">
        <f t="shared" ref="F6:F11" si="3">COUNTIF(#REF!,"IT")</f>
        <v>#REF!</v>
      </c>
    </row>
    <row r="7" spans="1:10" x14ac:dyDescent="0.3">
      <c r="A7" t="s">
        <v>10</v>
      </c>
      <c r="B7" t="s">
        <v>15</v>
      </c>
      <c r="C7">
        <v>78</v>
      </c>
      <c r="D7" s="1">
        <v>48000</v>
      </c>
      <c r="E7" s="2">
        <v>0.88</v>
      </c>
      <c r="F7" t="e">
        <f t="shared" ref="F7:F11" si="4">COUNTIF(#REF!,"IT")</f>
        <v>#REF!</v>
      </c>
    </row>
    <row r="8" spans="1:10" x14ac:dyDescent="0.3">
      <c r="A8" t="s">
        <v>11</v>
      </c>
      <c r="B8" t="s">
        <v>17</v>
      </c>
      <c r="C8">
        <v>69</v>
      </c>
      <c r="D8" s="1">
        <v>41000</v>
      </c>
      <c r="E8" s="2">
        <v>0.81</v>
      </c>
      <c r="F8" t="e">
        <f t="shared" ref="F8:F11" si="5">COUNTIF(#REF!,"IT")</f>
        <v>#REF!</v>
      </c>
    </row>
    <row r="9" spans="1:10" x14ac:dyDescent="0.3">
      <c r="A9" t="s">
        <v>12</v>
      </c>
      <c r="B9" t="s">
        <v>16</v>
      </c>
      <c r="C9">
        <v>88</v>
      </c>
      <c r="D9" s="1">
        <v>46000</v>
      </c>
      <c r="E9" s="2">
        <v>0.94</v>
      </c>
      <c r="F9" t="e">
        <f t="shared" ref="F9:F11" si="6">COUNTIF(#REF!,"IT")</f>
        <v>#REF!</v>
      </c>
    </row>
    <row r="10" spans="1:10" x14ac:dyDescent="0.3">
      <c r="A10" t="s">
        <v>13</v>
      </c>
      <c r="B10" t="s">
        <v>15</v>
      </c>
      <c r="C10">
        <v>95</v>
      </c>
      <c r="D10" s="1">
        <v>60000</v>
      </c>
      <c r="E10" s="2">
        <v>0.98</v>
      </c>
      <c r="F10" t="e">
        <f t="shared" ref="F10:F11" si="7">COUNTIF(#REF!,"IT")</f>
        <v>#REF!</v>
      </c>
    </row>
    <row r="11" spans="1:10" x14ac:dyDescent="0.3">
      <c r="A11" t="s">
        <v>14</v>
      </c>
      <c r="B11" t="s">
        <v>17</v>
      </c>
      <c r="C11">
        <v>74</v>
      </c>
      <c r="D11" s="1">
        <v>39000</v>
      </c>
      <c r="E11" s="2">
        <v>0.86</v>
      </c>
      <c r="F11" t="e">
        <f t="shared" ref="F11" si="8">COUNTIF(#REF!,"IT")</f>
        <v>#REF!</v>
      </c>
    </row>
    <row r="13" spans="1:10" x14ac:dyDescent="0.3">
      <c r="A13" t="s">
        <v>18</v>
      </c>
    </row>
    <row r="14" spans="1:10" x14ac:dyDescent="0.3">
      <c r="A14" s="3" t="s">
        <v>0</v>
      </c>
      <c r="B14" s="3" t="s">
        <v>1</v>
      </c>
      <c r="C14" s="3" t="s">
        <v>2</v>
      </c>
      <c r="D14" s="3" t="s">
        <v>3</v>
      </c>
      <c r="E14" s="3" t="s">
        <v>4</v>
      </c>
      <c r="F14" s="3" t="s">
        <v>18</v>
      </c>
      <c r="G14" s="3" t="s">
        <v>19</v>
      </c>
      <c r="H14" s="3" t="s">
        <v>20</v>
      </c>
      <c r="I14" s="3" t="s">
        <v>22</v>
      </c>
      <c r="J14" s="3" t="s">
        <v>21</v>
      </c>
    </row>
    <row r="15" spans="1:10" x14ac:dyDescent="0.3">
      <c r="A15" t="s">
        <v>5</v>
      </c>
      <c r="B15" t="s">
        <v>15</v>
      </c>
      <c r="C15">
        <v>85</v>
      </c>
      <c r="D15" s="1">
        <v>45000</v>
      </c>
      <c r="E15" s="2">
        <v>0.92</v>
      </c>
      <c r="F15" t="str">
        <f>IF(C15&gt;=40,"PASS","FAIL")</f>
        <v>PASS</v>
      </c>
      <c r="G15" t="str">
        <f>IF(D15&gt;45000,"High Salary","Normal salary")</f>
        <v>Normal salary</v>
      </c>
      <c r="H15">
        <f>COUNTIF(B15:B24,"IT")</f>
        <v>4</v>
      </c>
      <c r="I15">
        <f>SUMIF(B15:B24,"IT",D15:D24)</f>
        <v>195000</v>
      </c>
      <c r="J15">
        <f>COUNTIF(C15:C24,"&gt;=80")</f>
        <v>4</v>
      </c>
    </row>
    <row r="16" spans="1:10" x14ac:dyDescent="0.3">
      <c r="A16" t="s">
        <v>6</v>
      </c>
      <c r="B16" t="s">
        <v>16</v>
      </c>
      <c r="C16">
        <v>72</v>
      </c>
      <c r="D16" s="1">
        <v>38000</v>
      </c>
      <c r="E16" s="2">
        <v>0.85</v>
      </c>
      <c r="F16" t="str">
        <f t="shared" ref="F16:F24" si="9">IF(C16&gt;=40,"PASS","FAIL")</f>
        <v>PASS</v>
      </c>
      <c r="G16" t="str">
        <f t="shared" ref="G16:G24" si="10">IF(D16&gt;45000,"High Salary","Normal salary")</f>
        <v>Normal salary</v>
      </c>
      <c r="H16">
        <f t="shared" ref="H16:H24" si="11">COUNTIF(B16:B25,"IT")</f>
        <v>3</v>
      </c>
      <c r="I16">
        <f t="shared" ref="I16:I24" si="12">SUMIF(B16:B25,"IT",D16:D25)</f>
        <v>150000</v>
      </c>
      <c r="J16">
        <f t="shared" ref="J16:J24" si="13">COUNTIF(C16:C25,"&gt;=80")</f>
        <v>3</v>
      </c>
    </row>
    <row r="17" spans="1:10" x14ac:dyDescent="0.3">
      <c r="A17" t="s">
        <v>7</v>
      </c>
      <c r="B17" t="s">
        <v>15</v>
      </c>
      <c r="C17">
        <v>65</v>
      </c>
      <c r="D17" s="1">
        <v>42000</v>
      </c>
      <c r="E17" s="2">
        <v>0.78</v>
      </c>
      <c r="F17" t="str">
        <f t="shared" si="9"/>
        <v>PASS</v>
      </c>
      <c r="G17" t="str">
        <f t="shared" si="10"/>
        <v>Normal salary</v>
      </c>
      <c r="H17">
        <f t="shared" si="11"/>
        <v>3</v>
      </c>
      <c r="I17">
        <f t="shared" si="12"/>
        <v>150000</v>
      </c>
      <c r="J17">
        <f t="shared" si="13"/>
        <v>3</v>
      </c>
    </row>
    <row r="18" spans="1:10" x14ac:dyDescent="0.3">
      <c r="A18" t="s">
        <v>8</v>
      </c>
      <c r="B18" t="s">
        <v>17</v>
      </c>
      <c r="C18">
        <v>91</v>
      </c>
      <c r="D18" s="1">
        <v>52000</v>
      </c>
      <c r="E18" s="2">
        <v>0.96</v>
      </c>
      <c r="F18" t="str">
        <f t="shared" si="9"/>
        <v>PASS</v>
      </c>
      <c r="G18" t="str">
        <f t="shared" si="10"/>
        <v>High Salary</v>
      </c>
      <c r="H18">
        <f t="shared" si="11"/>
        <v>2</v>
      </c>
      <c r="I18">
        <f t="shared" si="12"/>
        <v>108000</v>
      </c>
      <c r="J18">
        <f t="shared" si="13"/>
        <v>3</v>
      </c>
    </row>
    <row r="19" spans="1:10" x14ac:dyDescent="0.3">
      <c r="A19" t="s">
        <v>9</v>
      </c>
      <c r="B19" t="s">
        <v>16</v>
      </c>
      <c r="C19">
        <v>58</v>
      </c>
      <c r="D19" s="1">
        <v>35000</v>
      </c>
      <c r="E19" s="2">
        <v>0.72</v>
      </c>
      <c r="F19" t="str">
        <f t="shared" si="9"/>
        <v>PASS</v>
      </c>
      <c r="G19" t="str">
        <f t="shared" si="10"/>
        <v>Normal salary</v>
      </c>
      <c r="H19">
        <f t="shared" si="11"/>
        <v>2</v>
      </c>
      <c r="I19">
        <f t="shared" si="12"/>
        <v>108000</v>
      </c>
      <c r="J19">
        <f t="shared" si="13"/>
        <v>2</v>
      </c>
    </row>
    <row r="20" spans="1:10" x14ac:dyDescent="0.3">
      <c r="A20" t="s">
        <v>10</v>
      </c>
      <c r="B20" t="s">
        <v>15</v>
      </c>
      <c r="C20">
        <v>78</v>
      </c>
      <c r="D20" s="1">
        <v>48000</v>
      </c>
      <c r="E20" s="2">
        <v>0.88</v>
      </c>
      <c r="F20" t="str">
        <f t="shared" si="9"/>
        <v>PASS</v>
      </c>
      <c r="G20" t="str">
        <f t="shared" si="10"/>
        <v>High Salary</v>
      </c>
      <c r="H20">
        <f t="shared" si="11"/>
        <v>2</v>
      </c>
      <c r="I20">
        <f t="shared" si="12"/>
        <v>108000</v>
      </c>
      <c r="J20">
        <f t="shared" si="13"/>
        <v>2</v>
      </c>
    </row>
    <row r="21" spans="1:10" x14ac:dyDescent="0.3">
      <c r="A21" t="s">
        <v>11</v>
      </c>
      <c r="B21" t="s">
        <v>17</v>
      </c>
      <c r="C21">
        <v>69</v>
      </c>
      <c r="D21" s="1">
        <v>41000</v>
      </c>
      <c r="E21" s="2">
        <v>0.81</v>
      </c>
      <c r="F21" t="str">
        <f t="shared" si="9"/>
        <v>PASS</v>
      </c>
      <c r="G21" t="str">
        <f t="shared" si="10"/>
        <v>Normal salary</v>
      </c>
      <c r="H21">
        <f t="shared" si="11"/>
        <v>1</v>
      </c>
      <c r="I21">
        <f t="shared" si="12"/>
        <v>60000</v>
      </c>
      <c r="J21">
        <f t="shared" si="13"/>
        <v>2</v>
      </c>
    </row>
    <row r="22" spans="1:10" x14ac:dyDescent="0.3">
      <c r="A22" t="s">
        <v>12</v>
      </c>
      <c r="B22" t="s">
        <v>16</v>
      </c>
      <c r="C22">
        <v>88</v>
      </c>
      <c r="D22" s="1">
        <v>46000</v>
      </c>
      <c r="E22" s="2">
        <v>0.94</v>
      </c>
      <c r="F22" t="str">
        <f t="shared" si="9"/>
        <v>PASS</v>
      </c>
      <c r="G22" t="str">
        <f t="shared" si="10"/>
        <v>High Salary</v>
      </c>
      <c r="H22">
        <f t="shared" si="11"/>
        <v>1</v>
      </c>
      <c r="I22">
        <f t="shared" si="12"/>
        <v>60000</v>
      </c>
      <c r="J22">
        <f t="shared" si="13"/>
        <v>2</v>
      </c>
    </row>
    <row r="23" spans="1:10" x14ac:dyDescent="0.3">
      <c r="A23" t="s">
        <v>13</v>
      </c>
      <c r="B23" t="s">
        <v>15</v>
      </c>
      <c r="C23">
        <v>95</v>
      </c>
      <c r="D23" s="1">
        <v>60000</v>
      </c>
      <c r="E23" s="2">
        <v>0.98</v>
      </c>
      <c r="F23" t="str">
        <f t="shared" si="9"/>
        <v>PASS</v>
      </c>
      <c r="G23" t="str">
        <f t="shared" si="10"/>
        <v>High Salary</v>
      </c>
      <c r="H23">
        <f t="shared" si="11"/>
        <v>1</v>
      </c>
      <c r="I23">
        <f t="shared" si="12"/>
        <v>60000</v>
      </c>
      <c r="J23">
        <f t="shared" si="13"/>
        <v>1</v>
      </c>
    </row>
    <row r="24" spans="1:10" x14ac:dyDescent="0.3">
      <c r="A24" t="s">
        <v>14</v>
      </c>
      <c r="B24" t="s">
        <v>17</v>
      </c>
      <c r="C24">
        <v>74</v>
      </c>
      <c r="D24" s="1">
        <v>39000</v>
      </c>
      <c r="E24" s="2">
        <v>0.86</v>
      </c>
      <c r="F24" t="str">
        <f t="shared" si="9"/>
        <v>PASS</v>
      </c>
      <c r="G24" t="str">
        <f t="shared" si="10"/>
        <v>Normal salary</v>
      </c>
      <c r="H24">
        <f t="shared" si="11"/>
        <v>0</v>
      </c>
      <c r="I24">
        <f t="shared" si="12"/>
        <v>0</v>
      </c>
      <c r="J24">
        <f t="shared" si="13"/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tabSelected="1" workbookViewId="0">
      <selection activeCell="G2" sqref="G2:G11"/>
    </sheetView>
  </sheetViews>
  <sheetFormatPr defaultRowHeight="14.4" x14ac:dyDescent="0.3"/>
  <cols>
    <col min="5" max="5" width="10.33203125" bestFit="1" customWidth="1"/>
    <col min="7" max="7" width="14.6640625" customWidth="1"/>
  </cols>
  <sheetData>
    <row r="1" spans="1:7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20</v>
      </c>
      <c r="G1" s="3" t="s">
        <v>22</v>
      </c>
    </row>
    <row r="2" spans="1:7" x14ac:dyDescent="0.3">
      <c r="A2" t="s">
        <v>5</v>
      </c>
      <c r="B2" t="s">
        <v>15</v>
      </c>
      <c r="C2">
        <v>85</v>
      </c>
      <c r="D2" s="1">
        <v>45000</v>
      </c>
      <c r="E2" s="2">
        <v>0.92</v>
      </c>
      <c r="F2">
        <f>COUNTIF(B2:B11,"IT")</f>
        <v>4</v>
      </c>
      <c r="G2">
        <f>SUMIF(B2:B11,"IT",D2:D11)</f>
        <v>195000</v>
      </c>
    </row>
    <row r="3" spans="1:7" x14ac:dyDescent="0.3">
      <c r="A3" t="s">
        <v>6</v>
      </c>
      <c r="B3" t="s">
        <v>16</v>
      </c>
      <c r="C3">
        <v>72</v>
      </c>
      <c r="D3" s="1">
        <v>38000</v>
      </c>
      <c r="E3" s="2">
        <v>0.85</v>
      </c>
      <c r="F3">
        <f t="shared" ref="F3:F11" si="0">COUNTIF(B3:B12,"IT")</f>
        <v>3</v>
      </c>
      <c r="G3">
        <f t="shared" ref="G3:G11" si="1">SUMIF(B3:B12,"IT",D3:D12)</f>
        <v>150000</v>
      </c>
    </row>
    <row r="4" spans="1:7" x14ac:dyDescent="0.3">
      <c r="A4" t="s">
        <v>7</v>
      </c>
      <c r="B4" t="s">
        <v>15</v>
      </c>
      <c r="C4">
        <v>65</v>
      </c>
      <c r="D4" s="1">
        <v>42000</v>
      </c>
      <c r="E4" s="2">
        <v>0.78</v>
      </c>
      <c r="F4">
        <f t="shared" si="0"/>
        <v>3</v>
      </c>
      <c r="G4">
        <f t="shared" si="1"/>
        <v>150000</v>
      </c>
    </row>
    <row r="5" spans="1:7" x14ac:dyDescent="0.3">
      <c r="A5" t="s">
        <v>8</v>
      </c>
      <c r="B5" t="s">
        <v>17</v>
      </c>
      <c r="C5">
        <v>91</v>
      </c>
      <c r="D5" s="1">
        <v>52000</v>
      </c>
      <c r="E5" s="2">
        <v>0.96</v>
      </c>
      <c r="F5">
        <f t="shared" si="0"/>
        <v>2</v>
      </c>
      <c r="G5">
        <f t="shared" si="1"/>
        <v>108000</v>
      </c>
    </row>
    <row r="6" spans="1:7" x14ac:dyDescent="0.3">
      <c r="A6" t="s">
        <v>9</v>
      </c>
      <c r="B6" t="s">
        <v>16</v>
      </c>
      <c r="C6">
        <v>58</v>
      </c>
      <c r="D6" s="1">
        <v>35000</v>
      </c>
      <c r="E6" s="2">
        <v>0.72</v>
      </c>
      <c r="F6">
        <f t="shared" si="0"/>
        <v>2</v>
      </c>
      <c r="G6">
        <f t="shared" si="1"/>
        <v>108000</v>
      </c>
    </row>
    <row r="7" spans="1:7" x14ac:dyDescent="0.3">
      <c r="A7" t="s">
        <v>10</v>
      </c>
      <c r="B7" t="s">
        <v>15</v>
      </c>
      <c r="C7">
        <v>78</v>
      </c>
      <c r="D7" s="1">
        <v>48000</v>
      </c>
      <c r="E7" s="2">
        <v>0.88</v>
      </c>
      <c r="F7">
        <f t="shared" si="0"/>
        <v>2</v>
      </c>
      <c r="G7">
        <f t="shared" si="1"/>
        <v>108000</v>
      </c>
    </row>
    <row r="8" spans="1:7" x14ac:dyDescent="0.3">
      <c r="A8" t="s">
        <v>11</v>
      </c>
      <c r="B8" t="s">
        <v>17</v>
      </c>
      <c r="C8">
        <v>69</v>
      </c>
      <c r="D8" s="1">
        <v>41000</v>
      </c>
      <c r="E8" s="2">
        <v>0.81</v>
      </c>
      <c r="F8">
        <f t="shared" si="0"/>
        <v>1</v>
      </c>
      <c r="G8">
        <f t="shared" si="1"/>
        <v>60000</v>
      </c>
    </row>
    <row r="9" spans="1:7" x14ac:dyDescent="0.3">
      <c r="A9" t="s">
        <v>12</v>
      </c>
      <c r="B9" t="s">
        <v>16</v>
      </c>
      <c r="C9">
        <v>88</v>
      </c>
      <c r="D9" s="1">
        <v>46000</v>
      </c>
      <c r="E9" s="2">
        <v>0.94</v>
      </c>
      <c r="F9">
        <f t="shared" si="0"/>
        <v>1</v>
      </c>
      <c r="G9">
        <f t="shared" si="1"/>
        <v>60000</v>
      </c>
    </row>
    <row r="10" spans="1:7" x14ac:dyDescent="0.3">
      <c r="A10" t="s">
        <v>13</v>
      </c>
      <c r="B10" t="s">
        <v>15</v>
      </c>
      <c r="C10">
        <v>95</v>
      </c>
      <c r="D10" s="1">
        <v>60000</v>
      </c>
      <c r="E10" s="2">
        <v>0.98</v>
      </c>
      <c r="F10">
        <f t="shared" si="0"/>
        <v>1</v>
      </c>
      <c r="G10">
        <f t="shared" si="1"/>
        <v>60000</v>
      </c>
    </row>
    <row r="11" spans="1:7" x14ac:dyDescent="0.3">
      <c r="A11" t="s">
        <v>14</v>
      </c>
      <c r="B11" t="s">
        <v>17</v>
      </c>
      <c r="C11">
        <v>74</v>
      </c>
      <c r="D11" s="1">
        <v>39000</v>
      </c>
      <c r="E11" s="2">
        <v>0.86</v>
      </c>
      <c r="F11">
        <f t="shared" si="0"/>
        <v>0</v>
      </c>
      <c r="G11">
        <f t="shared" si="1"/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workbookViewId="0">
      <selection sqref="A1:F11"/>
    </sheetView>
  </sheetViews>
  <sheetFormatPr defaultRowHeight="14.4" x14ac:dyDescent="0.3"/>
  <cols>
    <col min="6" max="6" width="11.77734375" bestFit="1" customWidth="1"/>
  </cols>
  <sheetData>
    <row r="1" spans="1:6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18</v>
      </c>
    </row>
    <row r="2" spans="1:6" x14ac:dyDescent="0.3">
      <c r="A2" t="s">
        <v>5</v>
      </c>
      <c r="B2" t="s">
        <v>15</v>
      </c>
      <c r="C2">
        <v>85</v>
      </c>
      <c r="D2" s="1">
        <v>45000</v>
      </c>
      <c r="E2" s="2">
        <v>0.92</v>
      </c>
      <c r="F2" t="str">
        <f>IF(C2&gt;=40,"PASS","FAIL")</f>
        <v>PASS</v>
      </c>
    </row>
    <row r="3" spans="1:6" x14ac:dyDescent="0.3">
      <c r="A3" t="s">
        <v>6</v>
      </c>
      <c r="B3" t="s">
        <v>16</v>
      </c>
      <c r="C3">
        <v>72</v>
      </c>
      <c r="D3" s="1">
        <v>38000</v>
      </c>
      <c r="E3" s="2">
        <v>0.85</v>
      </c>
      <c r="F3" t="str">
        <f t="shared" ref="F3:F11" si="0">IF(C3&gt;=40,"PASS","FAIL")</f>
        <v>PASS</v>
      </c>
    </row>
    <row r="4" spans="1:6" x14ac:dyDescent="0.3">
      <c r="A4" t="s">
        <v>7</v>
      </c>
      <c r="B4" t="s">
        <v>15</v>
      </c>
      <c r="C4">
        <v>65</v>
      </c>
      <c r="D4" s="1">
        <v>42000</v>
      </c>
      <c r="E4" s="2">
        <v>0.78</v>
      </c>
      <c r="F4" t="str">
        <f t="shared" si="0"/>
        <v>PASS</v>
      </c>
    </row>
    <row r="5" spans="1:6" x14ac:dyDescent="0.3">
      <c r="A5" t="s">
        <v>8</v>
      </c>
      <c r="B5" t="s">
        <v>17</v>
      </c>
      <c r="C5">
        <v>91</v>
      </c>
      <c r="D5" s="1">
        <v>52000</v>
      </c>
      <c r="E5" s="2">
        <v>0.96</v>
      </c>
      <c r="F5" t="str">
        <f t="shared" si="0"/>
        <v>PASS</v>
      </c>
    </row>
    <row r="6" spans="1:6" x14ac:dyDescent="0.3">
      <c r="A6" t="s">
        <v>9</v>
      </c>
      <c r="B6" t="s">
        <v>16</v>
      </c>
      <c r="C6">
        <v>58</v>
      </c>
      <c r="D6" s="1">
        <v>35000</v>
      </c>
      <c r="E6" s="2">
        <v>0.72</v>
      </c>
      <c r="F6" t="str">
        <f t="shared" si="0"/>
        <v>PASS</v>
      </c>
    </row>
    <row r="7" spans="1:6" x14ac:dyDescent="0.3">
      <c r="A7" t="s">
        <v>10</v>
      </c>
      <c r="B7" t="s">
        <v>15</v>
      </c>
      <c r="C7">
        <v>78</v>
      </c>
      <c r="D7" s="1">
        <v>48000</v>
      </c>
      <c r="E7" s="2">
        <v>0.88</v>
      </c>
      <c r="F7" t="str">
        <f t="shared" si="0"/>
        <v>PASS</v>
      </c>
    </row>
    <row r="8" spans="1:6" x14ac:dyDescent="0.3">
      <c r="A8" t="s">
        <v>11</v>
      </c>
      <c r="B8" t="s">
        <v>17</v>
      </c>
      <c r="C8">
        <v>69</v>
      </c>
      <c r="D8" s="1">
        <v>41000</v>
      </c>
      <c r="E8" s="2">
        <v>0.81</v>
      </c>
      <c r="F8" t="str">
        <f t="shared" si="0"/>
        <v>PASS</v>
      </c>
    </row>
    <row r="9" spans="1:6" x14ac:dyDescent="0.3">
      <c r="A9" t="s">
        <v>12</v>
      </c>
      <c r="B9" t="s">
        <v>16</v>
      </c>
      <c r="C9">
        <v>88</v>
      </c>
      <c r="D9" s="1">
        <v>46000</v>
      </c>
      <c r="E9" s="2">
        <v>0.94</v>
      </c>
      <c r="F9" t="str">
        <f t="shared" si="0"/>
        <v>PASS</v>
      </c>
    </row>
    <row r="10" spans="1:6" x14ac:dyDescent="0.3">
      <c r="A10" t="s">
        <v>13</v>
      </c>
      <c r="B10" t="s">
        <v>15</v>
      </c>
      <c r="C10">
        <v>95</v>
      </c>
      <c r="D10" s="1">
        <v>60000</v>
      </c>
      <c r="E10" s="2">
        <v>0.98</v>
      </c>
      <c r="F10" t="str">
        <f t="shared" si="0"/>
        <v>PASS</v>
      </c>
    </row>
    <row r="11" spans="1:6" x14ac:dyDescent="0.3">
      <c r="A11" t="s">
        <v>14</v>
      </c>
      <c r="B11" t="s">
        <v>17</v>
      </c>
      <c r="C11">
        <v>74</v>
      </c>
      <c r="D11" s="1">
        <v>39000</v>
      </c>
      <c r="E11" s="2">
        <v>0.86</v>
      </c>
      <c r="F11" t="str">
        <f t="shared" si="0"/>
        <v>PASS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workbookViewId="0">
      <selection sqref="A1:F11"/>
    </sheetView>
  </sheetViews>
  <sheetFormatPr defaultRowHeight="14.4" x14ac:dyDescent="0.3"/>
  <cols>
    <col min="6" max="6" width="12.6640625" bestFit="1" customWidth="1"/>
  </cols>
  <sheetData>
    <row r="1" spans="1:6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19</v>
      </c>
    </row>
    <row r="2" spans="1:6" x14ac:dyDescent="0.3">
      <c r="A2" t="s">
        <v>5</v>
      </c>
      <c r="B2" t="s">
        <v>15</v>
      </c>
      <c r="C2">
        <v>85</v>
      </c>
      <c r="D2" s="1">
        <v>45000</v>
      </c>
      <c r="E2" s="2">
        <v>0.92</v>
      </c>
      <c r="F2" t="str">
        <f>IF(C2&gt;45000,"High Salary","Normal salary")</f>
        <v>Normal salary</v>
      </c>
    </row>
    <row r="3" spans="1:6" x14ac:dyDescent="0.3">
      <c r="A3" t="s">
        <v>6</v>
      </c>
      <c r="B3" t="s">
        <v>16</v>
      </c>
      <c r="C3">
        <v>72</v>
      </c>
      <c r="D3" s="1">
        <v>38000</v>
      </c>
      <c r="E3" s="2">
        <v>0.85</v>
      </c>
      <c r="F3" t="str">
        <f t="shared" ref="F3:F11" si="0">IF(C3&gt;45000,"High Salary","Normal salary")</f>
        <v>Normal salary</v>
      </c>
    </row>
    <row r="4" spans="1:6" x14ac:dyDescent="0.3">
      <c r="A4" t="s">
        <v>7</v>
      </c>
      <c r="B4" t="s">
        <v>15</v>
      </c>
      <c r="C4">
        <v>65</v>
      </c>
      <c r="D4" s="1">
        <v>42000</v>
      </c>
      <c r="E4" s="2">
        <v>0.78</v>
      </c>
      <c r="F4" t="str">
        <f t="shared" si="0"/>
        <v>Normal salary</v>
      </c>
    </row>
    <row r="5" spans="1:6" x14ac:dyDescent="0.3">
      <c r="A5" t="s">
        <v>8</v>
      </c>
      <c r="B5" t="s">
        <v>17</v>
      </c>
      <c r="C5">
        <v>91</v>
      </c>
      <c r="D5" s="1">
        <v>52000</v>
      </c>
      <c r="E5" s="2">
        <v>0.96</v>
      </c>
      <c r="F5" t="str">
        <f t="shared" si="0"/>
        <v>Normal salary</v>
      </c>
    </row>
    <row r="6" spans="1:6" x14ac:dyDescent="0.3">
      <c r="A6" t="s">
        <v>9</v>
      </c>
      <c r="B6" t="s">
        <v>16</v>
      </c>
      <c r="C6">
        <v>58</v>
      </c>
      <c r="D6" s="1">
        <v>35000</v>
      </c>
      <c r="E6" s="2">
        <v>0.72</v>
      </c>
      <c r="F6" t="str">
        <f t="shared" si="0"/>
        <v>Normal salary</v>
      </c>
    </row>
    <row r="7" spans="1:6" x14ac:dyDescent="0.3">
      <c r="A7" t="s">
        <v>10</v>
      </c>
      <c r="B7" t="s">
        <v>15</v>
      </c>
      <c r="C7">
        <v>78</v>
      </c>
      <c r="D7" s="1">
        <v>48000</v>
      </c>
      <c r="E7" s="2">
        <v>0.88</v>
      </c>
      <c r="F7" t="str">
        <f t="shared" si="0"/>
        <v>Normal salary</v>
      </c>
    </row>
    <row r="8" spans="1:6" x14ac:dyDescent="0.3">
      <c r="A8" t="s">
        <v>11</v>
      </c>
      <c r="B8" t="s">
        <v>17</v>
      </c>
      <c r="C8">
        <v>69</v>
      </c>
      <c r="D8" s="1">
        <v>41000</v>
      </c>
      <c r="E8" s="2">
        <v>0.81</v>
      </c>
      <c r="F8" t="str">
        <f t="shared" si="0"/>
        <v>Normal salary</v>
      </c>
    </row>
    <row r="9" spans="1:6" x14ac:dyDescent="0.3">
      <c r="A9" t="s">
        <v>12</v>
      </c>
      <c r="B9" t="s">
        <v>16</v>
      </c>
      <c r="C9">
        <v>88</v>
      </c>
      <c r="D9" s="1">
        <v>46000</v>
      </c>
      <c r="E9" s="2">
        <v>0.94</v>
      </c>
      <c r="F9" t="str">
        <f t="shared" si="0"/>
        <v>Normal salary</v>
      </c>
    </row>
    <row r="10" spans="1:6" x14ac:dyDescent="0.3">
      <c r="A10" t="s">
        <v>13</v>
      </c>
      <c r="B10" t="s">
        <v>15</v>
      </c>
      <c r="C10">
        <v>95</v>
      </c>
      <c r="D10" s="1">
        <v>60000</v>
      </c>
      <c r="E10" s="2">
        <v>0.98</v>
      </c>
      <c r="F10" t="str">
        <f t="shared" si="0"/>
        <v>Normal salary</v>
      </c>
    </row>
    <row r="11" spans="1:6" x14ac:dyDescent="0.3">
      <c r="A11" t="s">
        <v>14</v>
      </c>
      <c r="B11" t="s">
        <v>17</v>
      </c>
      <c r="C11">
        <v>74</v>
      </c>
      <c r="D11" s="1">
        <v>39000</v>
      </c>
      <c r="E11" s="2">
        <v>0.86</v>
      </c>
      <c r="F11" t="str">
        <f t="shared" si="0"/>
        <v>Normal salary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Sheet4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ARPIT</dc:creator>
  <cp:lastModifiedBy>ARPIT</cp:lastModifiedBy>
  <dcterms:created xsi:type="dcterms:W3CDTF">2026-08-27T03:56:52Z</dcterms:created>
  <dcterms:modified xsi:type="dcterms:W3CDTF">2026-09-22T05:20:12Z</dcterms:modified>
</cp:coreProperties>
</file>